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oman\Documents\"/>
    </mc:Choice>
  </mc:AlternateContent>
  <xr:revisionPtr revIDLastSave="0" documentId="13_ncr:1_{C88FAF0B-E958-440D-8778-0F230593B26D}" xr6:coauthVersionLast="47" xr6:coauthVersionMax="47" xr10:uidLastSave="{00000000-0000-0000-0000-000000000000}"/>
  <bookViews>
    <workbookView xWindow="-108" yWindow="-108" windowWidth="23256" windowHeight="12720" xr2:uid="{9754201E-3AEF-4F9D-85F1-81B96804210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" i="2" l="1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4" i="2"/>
  <c r="B2" i="2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A2" i="2"/>
</calcChain>
</file>

<file path=xl/sharedStrings.xml><?xml version="1.0" encoding="utf-8"?>
<sst xmlns="http://schemas.openxmlformats.org/spreadsheetml/2006/main" count="106" uniqueCount="68">
  <si>
    <t>Customer Name</t>
  </si>
  <si>
    <t>District</t>
  </si>
  <si>
    <t>Phone</t>
  </si>
  <si>
    <t>Mobile</t>
  </si>
  <si>
    <t>Fax</t>
  </si>
  <si>
    <t>eMail</t>
  </si>
  <si>
    <t>Web</t>
  </si>
  <si>
    <t>TIN</t>
  </si>
  <si>
    <t>BIN</t>
  </si>
  <si>
    <t>Remarks</t>
  </si>
  <si>
    <t>KDS ACCESSORIES, 191-192, BIAZID BOSTAMI ROAD, NASIRABAD I/A,</t>
  </si>
  <si>
    <t>L/195, MASTER LANE  PAHARTALI, KHULISHI,  CHATTOGRAM.</t>
  </si>
  <si>
    <t>CHITTAGONG</t>
  </si>
  <si>
    <t>031-3423424</t>
  </si>
  <si>
    <t>ASHRAFUZZAMAN</t>
  </si>
  <si>
    <t>-</t>
  </si>
  <si>
    <t>Display Name</t>
  </si>
  <si>
    <t>Billing Address</t>
  </si>
  <si>
    <t>Shipping Address</t>
  </si>
  <si>
    <t>Postal ZipCode</t>
  </si>
  <si>
    <t>Trade License No</t>
  </si>
  <si>
    <t>Registration No</t>
  </si>
  <si>
    <t>VAT No</t>
  </si>
  <si>
    <t>IRC No</t>
  </si>
  <si>
    <t>ERC No</t>
  </si>
  <si>
    <t>Contact Person</t>
  </si>
  <si>
    <t>Contact Mobile</t>
  </si>
  <si>
    <t>Opening Balance</t>
  </si>
  <si>
    <t>8801717298831</t>
  </si>
  <si>
    <t>CustomerName</t>
  </si>
  <si>
    <t>DisplayName</t>
  </si>
  <si>
    <t>BillingAddress</t>
  </si>
  <si>
    <t>ShippingAddress</t>
  </si>
  <si>
    <t>PostalZipCode</t>
  </si>
  <si>
    <t>TradeLicenseNo</t>
  </si>
  <si>
    <t>RegistrationNo</t>
  </si>
  <si>
    <t>VATNo</t>
  </si>
  <si>
    <t>IRCNo</t>
  </si>
  <si>
    <t>ERCNo</t>
  </si>
  <si>
    <t>ContactPerson</t>
  </si>
  <si>
    <t>ContactMobile</t>
  </si>
  <si>
    <t>OpeningBalance</t>
  </si>
  <si>
    <t>CustomerName: tableData[1].innerText,</t>
  </si>
  <si>
    <t>DisplayName: tableData[2].innerText,</t>
  </si>
  <si>
    <t>BillingAddress: tableData[3].innerText,</t>
  </si>
  <si>
    <t>ShippingAddress: tableData[4].innerText,</t>
  </si>
  <si>
    <t>PostalZipCode: tableData[5].innerText,</t>
  </si>
  <si>
    <t>District: tableData[6].innerText,</t>
  </si>
  <si>
    <t>Phone: tableData[7].innerText,</t>
  </si>
  <si>
    <t>Mobile: tableData[8].innerText,</t>
  </si>
  <si>
    <t>Fax: tableData[9].innerText,</t>
  </si>
  <si>
    <t>eMail: tableData[10].innerText,</t>
  </si>
  <si>
    <t>Web: tableData[11].innerText,</t>
  </si>
  <si>
    <t>TradeLicenseNo: tableData[12].innerText,</t>
  </si>
  <si>
    <t>RegistrationNo: tableData[13].innerText,</t>
  </si>
  <si>
    <t>TIN: tableData[14].innerText,</t>
  </si>
  <si>
    <t>BIN: tableData[15].innerText,</t>
  </si>
  <si>
    <t>VATNo: tableData[16].innerText,</t>
  </si>
  <si>
    <t>IRCNo: tableData[17].innerText,</t>
  </si>
  <si>
    <t>ERCNo: tableData[18].innerText,</t>
  </si>
  <si>
    <t>ContactPerson: tableData[19].innerText,</t>
  </si>
  <si>
    <t>ContactMobile: tableData[20].innerText,</t>
  </si>
  <si>
    <t>OpeningBalance: tableData[21].innerText,</t>
  </si>
  <si>
    <t>Remarks: tableData[22].innerText,</t>
  </si>
  <si>
    <t>AKBER HOSSAIN</t>
  </si>
  <si>
    <t>AKBER</t>
  </si>
  <si>
    <t>LUNA DAS</t>
  </si>
  <si>
    <t>LUNA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</si>
</sst>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731B-2D29-4FB5-9410-F7697AB613E1}">
  <dimension ref="A1:V3"/>
  <sheetViews>
    <sheetView tabSelected="1" topLeftCell="E1" workbookViewId="0">
      <selection activeCell="U4" sqref="U4"/>
    </sheetView>
  </sheetViews>
  <sheetFormatPr defaultRowHeight="14.4" x14ac:dyDescent="0.3"/>
  <cols>
    <col min="1" max="1" width="23.6640625" bestFit="1" customWidth="1"/>
    <col min="2" max="2" width="15.6640625" bestFit="1" customWidth="1"/>
    <col min="3" max="3" width="57.77734375" bestFit="1" customWidth="1"/>
    <col min="4" max="4" width="51.5546875" bestFit="1" customWidth="1"/>
    <col min="5" max="5" width="12.5546875" bestFit="1" customWidth="1"/>
    <col min="6" max="6" width="12.109375" bestFit="1" customWidth="1"/>
    <col min="7" max="7" width="11.6640625" bestFit="1" customWidth="1"/>
    <col min="8" max="8" width="14.109375" style="1" bestFit="1" customWidth="1"/>
    <col min="9" max="9" width="4" bestFit="1" customWidth="1"/>
    <col min="10" max="10" width="5.5546875" bestFit="1" customWidth="1"/>
    <col min="11" max="11" width="4.77734375" bestFit="1" customWidth="1"/>
    <col min="12" max="12" width="14.21875" bestFit="1" customWidth="1"/>
    <col min="13" max="13" width="13.33203125" bestFit="1" customWidth="1"/>
    <col min="14" max="14" width="4.88671875" bestFit="1" customWidth="1"/>
    <col min="15" max="15" width="4" bestFit="1" customWidth="1"/>
    <col min="16" max="16" width="6.6640625" bestFit="1" customWidth="1"/>
    <col min="17" max="17" width="6.21875" bestFit="1" customWidth="1"/>
    <col min="18" max="18" width="6.6640625" bestFit="1" customWidth="1"/>
    <col min="19" max="19" width="15.77734375" bestFit="1" customWidth="1"/>
    <col min="20" max="20" width="18.88671875" bestFit="1" customWidth="1"/>
    <col min="21" max="21" width="14.21875" bestFit="1" customWidth="1"/>
    <col min="22" max="22" width="14.88671875" bestFit="1" customWidth="1"/>
  </cols>
  <sheetData>
    <row r="1" spans="1:22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1</v>
      </c>
      <c r="G1" t="s">
        <v>2</v>
      </c>
      <c r="H1" s="1" t="s">
        <v>3</v>
      </c>
      <c r="I1" t="s">
        <v>4</v>
      </c>
      <c r="J1" t="s">
        <v>5</v>
      </c>
      <c r="K1" t="s">
        <v>6</v>
      </c>
      <c r="L1" t="s">
        <v>20</v>
      </c>
      <c r="M1" t="s">
        <v>21</v>
      </c>
      <c r="N1" t="s">
        <v>7</v>
      </c>
      <c r="O1" t="s">
        <v>8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9</v>
      </c>
    </row>
    <row r="2" spans="1:22" x14ac:dyDescent="0.3">
      <c r="A2" t="s">
        <v>64</v>
      </c>
      <c r="B2" t="s">
        <v>65</v>
      </c>
      <c r="C2" t="s">
        <v>10</v>
      </c>
      <c r="D2" t="s">
        <v>11</v>
      </c>
      <c r="E2">
        <v>4102</v>
      </c>
      <c r="F2" t="s">
        <v>12</v>
      </c>
      <c r="G2" t="s">
        <v>13</v>
      </c>
      <c r="H2" s="1" t="s">
        <v>28</v>
      </c>
      <c r="S2" t="s">
        <v>14</v>
      </c>
      <c r="T2">
        <v>1777775384</v>
      </c>
      <c r="U2">
        <v>654</v>
      </c>
      <c r="V2" t="s">
        <v>15</v>
      </c>
    </row>
    <row r="3" spans="1:22" x14ac:dyDescent="0.3">
      <c r="A3" t="s">
        <v>66</v>
      </c>
      <c r="B3" t="s">
        <v>67</v>
      </c>
      <c r="C3" t="s">
        <v>10</v>
      </c>
      <c r="D3" t="s">
        <v>11</v>
      </c>
      <c r="E3">
        <v>4102</v>
      </c>
      <c r="F3" t="s">
        <v>12</v>
      </c>
      <c r="G3" t="s">
        <v>13</v>
      </c>
      <c r="H3" s="1" t="s">
        <v>28</v>
      </c>
      <c r="S3" t="s">
        <v>14</v>
      </c>
      <c r="T3">
        <v>1777775384</v>
      </c>
      <c r="U3">
        <v>1000</v>
      </c>
      <c r="V3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D88C2-A7F9-42C7-A9AC-68A5A72B87B2}">
  <dimension ref="A1:V25"/>
  <sheetViews>
    <sheetView workbookViewId="0">
      <selection activeCell="I4" sqref="I4:I25"/>
    </sheetView>
  </sheetViews>
  <sheetFormatPr defaultRowHeight="14.4" x14ac:dyDescent="0.3"/>
  <cols>
    <col min="1" max="1" width="22.6640625" bestFit="1" customWidth="1"/>
  </cols>
  <sheetData>
    <row r="1" spans="1:22" x14ac:dyDescent="0.3">
      <c r="A1" t="s">
        <v>0</v>
      </c>
      <c r="B1" t="s">
        <v>16</v>
      </c>
      <c r="C1" t="s">
        <v>17</v>
      </c>
      <c r="D1" t="s">
        <v>18</v>
      </c>
      <c r="E1" t="s">
        <v>19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20</v>
      </c>
      <c r="M1" t="s">
        <v>21</v>
      </c>
      <c r="N1" t="s">
        <v>7</v>
      </c>
      <c r="O1" t="s">
        <v>8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9</v>
      </c>
    </row>
    <row r="2" spans="1:22" x14ac:dyDescent="0.3">
      <c r="A2" t="str">
        <f>CONCATENATE("&lt;th&gt;",A1,"&lt;/th&gt;")</f>
        <v>&lt;th&gt;Customer Name&lt;/th&gt;</v>
      </c>
      <c r="B2" t="str">
        <f t="shared" ref="B2:V2" si="0">CONCATENATE("&lt;th&gt;",B1,"&lt;/th&gt;")</f>
        <v>&lt;th&gt;Display Name&lt;/th&gt;</v>
      </c>
      <c r="C2" t="str">
        <f t="shared" si="0"/>
        <v>&lt;th&gt;Billing Address&lt;/th&gt;</v>
      </c>
      <c r="D2" t="str">
        <f t="shared" si="0"/>
        <v>&lt;th&gt;Shipping Address&lt;/th&gt;</v>
      </c>
      <c r="E2" t="str">
        <f t="shared" si="0"/>
        <v>&lt;th&gt;Postal ZipCode&lt;/th&gt;</v>
      </c>
      <c r="F2" t="str">
        <f t="shared" si="0"/>
        <v>&lt;th&gt;District&lt;/th&gt;</v>
      </c>
      <c r="G2" t="str">
        <f t="shared" si="0"/>
        <v>&lt;th&gt;Phone&lt;/th&gt;</v>
      </c>
      <c r="H2" t="str">
        <f t="shared" si="0"/>
        <v>&lt;th&gt;Mobile&lt;/th&gt;</v>
      </c>
      <c r="I2" t="str">
        <f t="shared" si="0"/>
        <v>&lt;th&gt;Fax&lt;/th&gt;</v>
      </c>
      <c r="J2" t="str">
        <f t="shared" si="0"/>
        <v>&lt;th&gt;eMail&lt;/th&gt;</v>
      </c>
      <c r="K2" t="str">
        <f t="shared" si="0"/>
        <v>&lt;th&gt;Web&lt;/th&gt;</v>
      </c>
      <c r="L2" t="str">
        <f t="shared" si="0"/>
        <v>&lt;th&gt;Trade License No&lt;/th&gt;</v>
      </c>
      <c r="M2" t="str">
        <f t="shared" si="0"/>
        <v>&lt;th&gt;Registration No&lt;/th&gt;</v>
      </c>
      <c r="N2" t="str">
        <f t="shared" si="0"/>
        <v>&lt;th&gt;TIN&lt;/th&gt;</v>
      </c>
      <c r="O2" t="str">
        <f t="shared" si="0"/>
        <v>&lt;th&gt;BIN&lt;/th&gt;</v>
      </c>
      <c r="P2" t="str">
        <f t="shared" si="0"/>
        <v>&lt;th&gt;VAT No&lt;/th&gt;</v>
      </c>
      <c r="Q2" t="str">
        <f t="shared" si="0"/>
        <v>&lt;th&gt;IRC No&lt;/th&gt;</v>
      </c>
      <c r="R2" t="str">
        <f t="shared" si="0"/>
        <v>&lt;th&gt;ERC No&lt;/th&gt;</v>
      </c>
      <c r="S2" t="str">
        <f t="shared" si="0"/>
        <v>&lt;th&gt;Contact Person&lt;/th&gt;</v>
      </c>
      <c r="T2" t="str">
        <f t="shared" si="0"/>
        <v>&lt;th&gt;Contact Mobile&lt;/th&gt;</v>
      </c>
      <c r="U2" t="str">
        <f t="shared" si="0"/>
        <v>&lt;th&gt;Opening Balance&lt;/th&gt;</v>
      </c>
      <c r="V2" t="str">
        <f t="shared" si="0"/>
        <v>&lt;th&gt;Remarks&lt;/th&gt;</v>
      </c>
    </row>
    <row r="4" spans="1:22" x14ac:dyDescent="0.3">
      <c r="A4" t="s">
        <v>29</v>
      </c>
      <c r="B4">
        <v>1</v>
      </c>
      <c r="C4" t="str">
        <f>CONCATENATE(A4, ": ", "tableData[", B4, "].innerText,")</f>
        <v>CustomerName: tableData[1].innerText,</v>
      </c>
      <c r="I4" t="s">
        <v>42</v>
      </c>
    </row>
    <row r="5" spans="1:22" x14ac:dyDescent="0.3">
      <c r="A5" t="s">
        <v>30</v>
      </c>
      <c r="B5">
        <v>2</v>
      </c>
      <c r="C5" t="str">
        <f t="shared" ref="C5:C25" si="1">CONCATENATE(A5, ": ", "tableData[", B5, "].innerText,")</f>
        <v>DisplayName: tableData[2].innerText,</v>
      </c>
      <c r="I5" t="s">
        <v>43</v>
      </c>
    </row>
    <row r="6" spans="1:22" x14ac:dyDescent="0.3">
      <c r="A6" t="s">
        <v>31</v>
      </c>
      <c r="B6">
        <v>3</v>
      </c>
      <c r="C6" t="str">
        <f t="shared" si="1"/>
        <v>BillingAddress: tableData[3].innerText,</v>
      </c>
      <c r="I6" t="s">
        <v>44</v>
      </c>
    </row>
    <row r="7" spans="1:22" x14ac:dyDescent="0.3">
      <c r="A7" t="s">
        <v>32</v>
      </c>
      <c r="B7">
        <v>4</v>
      </c>
      <c r="C7" t="str">
        <f t="shared" si="1"/>
        <v>ShippingAddress: tableData[4].innerText,</v>
      </c>
      <c r="I7" t="s">
        <v>45</v>
      </c>
    </row>
    <row r="8" spans="1:22" x14ac:dyDescent="0.3">
      <c r="A8" t="s">
        <v>33</v>
      </c>
      <c r="B8">
        <v>5</v>
      </c>
      <c r="C8" t="str">
        <f t="shared" si="1"/>
        <v>PostalZipCode: tableData[5].innerText,</v>
      </c>
      <c r="I8" t="s">
        <v>46</v>
      </c>
    </row>
    <row r="9" spans="1:22" x14ac:dyDescent="0.3">
      <c r="A9" t="s">
        <v>1</v>
      </c>
      <c r="B9">
        <v>6</v>
      </c>
      <c r="C9" t="str">
        <f t="shared" si="1"/>
        <v>District: tableData[6].innerText,</v>
      </c>
      <c r="I9" t="s">
        <v>47</v>
      </c>
    </row>
    <row r="10" spans="1:22" x14ac:dyDescent="0.3">
      <c r="A10" t="s">
        <v>2</v>
      </c>
      <c r="B10">
        <v>7</v>
      </c>
      <c r="C10" t="str">
        <f t="shared" si="1"/>
        <v>Phone: tableData[7].innerText,</v>
      </c>
      <c r="I10" t="s">
        <v>48</v>
      </c>
    </row>
    <row r="11" spans="1:22" x14ac:dyDescent="0.3">
      <c r="A11" t="s">
        <v>3</v>
      </c>
      <c r="B11">
        <v>8</v>
      </c>
      <c r="C11" t="str">
        <f t="shared" si="1"/>
        <v>Mobile: tableData[8].innerText,</v>
      </c>
      <c r="I11" t="s">
        <v>49</v>
      </c>
    </row>
    <row r="12" spans="1:22" x14ac:dyDescent="0.3">
      <c r="A12" t="s">
        <v>4</v>
      </c>
      <c r="B12">
        <v>9</v>
      </c>
      <c r="C12" t="str">
        <f t="shared" si="1"/>
        <v>Fax: tableData[9].innerText,</v>
      </c>
      <c r="I12" t="s">
        <v>50</v>
      </c>
    </row>
    <row r="13" spans="1:22" x14ac:dyDescent="0.3">
      <c r="A13" t="s">
        <v>5</v>
      </c>
      <c r="B13">
        <v>10</v>
      </c>
      <c r="C13" t="str">
        <f t="shared" si="1"/>
        <v>eMail: tableData[10].innerText,</v>
      </c>
      <c r="I13" t="s">
        <v>51</v>
      </c>
    </row>
    <row r="14" spans="1:22" x14ac:dyDescent="0.3">
      <c r="A14" t="s">
        <v>6</v>
      </c>
      <c r="B14">
        <v>11</v>
      </c>
      <c r="C14" t="str">
        <f t="shared" si="1"/>
        <v>Web: tableData[11].innerText,</v>
      </c>
      <c r="I14" t="s">
        <v>52</v>
      </c>
    </row>
    <row r="15" spans="1:22" x14ac:dyDescent="0.3">
      <c r="A15" t="s">
        <v>34</v>
      </c>
      <c r="B15">
        <v>12</v>
      </c>
      <c r="C15" t="str">
        <f t="shared" si="1"/>
        <v>TradeLicenseNo: tableData[12].innerText,</v>
      </c>
      <c r="I15" t="s">
        <v>53</v>
      </c>
    </row>
    <row r="16" spans="1:22" x14ac:dyDescent="0.3">
      <c r="A16" t="s">
        <v>35</v>
      </c>
      <c r="B16">
        <v>13</v>
      </c>
      <c r="C16" t="str">
        <f t="shared" si="1"/>
        <v>RegistrationNo: tableData[13].innerText,</v>
      </c>
      <c r="I16" t="s">
        <v>54</v>
      </c>
    </row>
    <row r="17" spans="1:9" x14ac:dyDescent="0.3">
      <c r="A17" t="s">
        <v>7</v>
      </c>
      <c r="B17">
        <v>14</v>
      </c>
      <c r="C17" t="str">
        <f t="shared" si="1"/>
        <v>TIN: tableData[14].innerText,</v>
      </c>
      <c r="I17" t="s">
        <v>55</v>
      </c>
    </row>
    <row r="18" spans="1:9" x14ac:dyDescent="0.3">
      <c r="A18" t="s">
        <v>8</v>
      </c>
      <c r="B18">
        <v>15</v>
      </c>
      <c r="C18" t="str">
        <f t="shared" si="1"/>
        <v>BIN: tableData[15].innerText,</v>
      </c>
      <c r="I18" t="s">
        <v>56</v>
      </c>
    </row>
    <row r="19" spans="1:9" x14ac:dyDescent="0.3">
      <c r="A19" t="s">
        <v>36</v>
      </c>
      <c r="B19">
        <v>16</v>
      </c>
      <c r="C19" t="str">
        <f t="shared" si="1"/>
        <v>VATNo: tableData[16].innerText,</v>
      </c>
      <c r="I19" t="s">
        <v>57</v>
      </c>
    </row>
    <row r="20" spans="1:9" x14ac:dyDescent="0.3">
      <c r="A20" t="s">
        <v>37</v>
      </c>
      <c r="B20">
        <v>17</v>
      </c>
      <c r="C20" t="str">
        <f t="shared" si="1"/>
        <v>IRCNo: tableData[17].innerText,</v>
      </c>
      <c r="I20" t="s">
        <v>58</v>
      </c>
    </row>
    <row r="21" spans="1:9" x14ac:dyDescent="0.3">
      <c r="A21" t="s">
        <v>38</v>
      </c>
      <c r="B21">
        <v>18</v>
      </c>
      <c r="C21" t="str">
        <f t="shared" si="1"/>
        <v>ERCNo: tableData[18].innerText,</v>
      </c>
      <c r="I21" t="s">
        <v>59</v>
      </c>
    </row>
    <row r="22" spans="1:9" x14ac:dyDescent="0.3">
      <c r="A22" t="s">
        <v>39</v>
      </c>
      <c r="B22">
        <v>19</v>
      </c>
      <c r="C22" t="str">
        <f t="shared" si="1"/>
        <v>ContactPerson: tableData[19].innerText,</v>
      </c>
      <c r="I22" t="s">
        <v>60</v>
      </c>
    </row>
    <row r="23" spans="1:9" x14ac:dyDescent="0.3">
      <c r="A23" t="s">
        <v>40</v>
      </c>
      <c r="B23">
        <v>20</v>
      </c>
      <c r="C23" t="str">
        <f t="shared" si="1"/>
        <v>ContactMobile: tableData[20].innerText,</v>
      </c>
      <c r="I23" t="s">
        <v>61</v>
      </c>
    </row>
    <row r="24" spans="1:9" x14ac:dyDescent="0.3">
      <c r="A24" t="s">
        <v>41</v>
      </c>
      <c r="B24">
        <v>21</v>
      </c>
      <c r="C24" t="str">
        <f t="shared" si="1"/>
        <v>OpeningBalance: tableData[21].innerText,</v>
      </c>
      <c r="I24" t="s">
        <v>62</v>
      </c>
    </row>
    <row r="25" spans="1:9" x14ac:dyDescent="0.3">
      <c r="A25" t="s">
        <v>9</v>
      </c>
      <c r="B25">
        <v>22</v>
      </c>
      <c r="C25" t="str">
        <f t="shared" si="1"/>
        <v>Remarks: tableData[22].innerText,</v>
      </c>
      <c r="I25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19A82-E787-4CFB-9D43-D3438352FA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Noman</dc:creator>
  <cp:lastModifiedBy>Noman</cp:lastModifiedBy>
  <dcterms:created xsi:type="dcterms:W3CDTF">2022-10-15T06:57:33Z</dcterms:created>
  <dcterms:modified xsi:type="dcterms:W3CDTF">2022-10-16T19:45:55Z</dcterms:modified>
</cp:coreProperties>
</file>